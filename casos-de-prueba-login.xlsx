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yenda" sheetId="1" state="visible" r:id="rId3"/>
    <sheet name="Casos de prueba" sheetId="2" state="visible" r:id="rId4"/>
    <sheet name="Reporte de bugs" sheetId="3" state="visible" r:id="rId5"/>
    <sheet name="Resumen" sheetId="4" state="visible" r:id="rId6"/>
  </sheets>
  <definedNames>
    <definedName function="false" hidden="true" localSheetId="1" name="_xlnm._FilterDatabase" vbProcedure="false">'Casos de prueba'!$A$1:$L$15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<sst xmlns="http://schemas.openxmlformats.org/spreadsheetml/2006/main" count="193" uniqueCount="137">
  <si>
    <t xml:space="preserve">Proyecto</t>
  </si>
  <si>
    <t xml:space="preserve">QA Manual - Pruebas funcionales de Login</t>
  </si>
  <si>
    <t xml:space="preserve">Tester</t>
  </si>
  <si>
    <t xml:space="preserve">Sandra Ibarra</t>
  </si>
  <si>
    <t xml:space="preserve">Sistema bajo prueba</t>
  </si>
  <si>
    <t xml:space="preserve">[Completar: nombre y URL de la aplicación probada]</t>
  </si>
  <si>
    <t xml:space="preserve">Navegador / versión</t>
  </si>
  <si>
    <t xml:space="preserve">[Completar: ej. Chrome versión X]</t>
  </si>
  <si>
    <t xml:space="preserve">Fecha de ejecución</t>
  </si>
  <si>
    <t xml:space="preserve">[Completar]</t>
  </si>
  <si>
    <t xml:space="preserve">Cómo usar este archivo</t>
  </si>
  <si>
    <t xml:space="preserve">1</t>
  </si>
  <si>
    <t xml:space="preserve">Hoja 'Casos de prueba': ejecutá cada caso y completá las celdas amarillas (Resultado obtenido, Estado, Fecha, Evidencia).</t>
  </si>
  <si>
    <t xml:space="preserve">2</t>
  </si>
  <si>
    <t xml:space="preserve">Estado: elegí Pendiente, Pasó, Falló o Bloqueado desde la lista.</t>
  </si>
  <si>
    <t xml:space="preserve">3</t>
  </si>
  <si>
    <t xml:space="preserve">Si un caso falla, registrá el bug en la hoja 'Reporte de bugs' y poné el ID del caso en 'Caso relacionado'.</t>
  </si>
  <si>
    <t xml:space="preserve">4</t>
  </si>
  <si>
    <t xml:space="preserve">Guardá las capturas en la carpeta 03-Evidencias con el nombre del caso (ej. CP-02.png) y anotalo en la columna Evidencia.</t>
  </si>
  <si>
    <t xml:space="preserve">5</t>
  </si>
  <si>
    <t xml:space="preserve">La hoja 'Resumen' se calcula sola a partir de los estados.</t>
  </si>
  <si>
    <t xml:space="preserve">Nota</t>
  </si>
  <si>
    <t xml:space="preserve">Los resultados esperados están redactados para un login estándar. Ajustalos si la aplicación probada define mensajes o reglas distintas.</t>
  </si>
  <si>
    <t xml:space="preserve">ID</t>
  </si>
  <si>
    <t xml:space="preserve">Tipo</t>
  </si>
  <si>
    <t xml:space="preserve">Prioridad</t>
  </si>
  <si>
    <t xml:space="preserve">Título</t>
  </si>
  <si>
    <t xml:space="preserve">Precondición</t>
  </si>
  <si>
    <t xml:space="preserve">Pasos</t>
  </si>
  <si>
    <t xml:space="preserve">Datos de prueba</t>
  </si>
  <si>
    <t xml:space="preserve">Resultado esperado</t>
  </si>
  <si>
    <t xml:space="preserve">Resultado obtenido</t>
  </si>
  <si>
    <t xml:space="preserve">Estado</t>
  </si>
  <si>
    <t xml:space="preserve">Fecha</t>
  </si>
  <si>
    <t xml:space="preserve">Evidencia</t>
  </si>
  <si>
    <t xml:space="preserve">CP-01</t>
  </si>
  <si>
    <t xml:space="preserve">Funcional</t>
  </si>
  <si>
    <t xml:space="preserve">Alta</t>
  </si>
  <si>
    <t xml:space="preserve">Login con credenciales válidas</t>
  </si>
  <si>
    <t xml:space="preserve">Estar en la pantalla de login; usuario registrado</t>
  </si>
  <si>
    <t xml:space="preserve">1. Ingresar usuario válido
2. Ingresar contraseña válida
3. Presionar 'Ingresar'</t>
  </si>
  <si>
    <t xml:space="preserve">Usuario: válido registrado
Contraseña: válida</t>
  </si>
  <si>
    <t xml:space="preserve">El sistema permite el acceso y muestra la pantalla principal del usuario.</t>
  </si>
  <si>
    <t xml:space="preserve">Pendiente</t>
  </si>
  <si>
    <t xml:space="preserve">CP-02</t>
  </si>
  <si>
    <t xml:space="preserve">Negativa</t>
  </si>
  <si>
    <t xml:space="preserve">Login con contraseña incorrecta</t>
  </si>
  <si>
    <t xml:space="preserve">Estar en la pantalla de login</t>
  </si>
  <si>
    <t xml:space="preserve">1. Ingresar usuario válido
2. Ingresar contraseña incorrecta
3. Presionar 'Ingresar'</t>
  </si>
  <si>
    <t xml:space="preserve">Usuario: válido
Contraseña: incorrecta</t>
  </si>
  <si>
    <t xml:space="preserve">El sistema no permite el acceso y muestra un mensaje de error claro.</t>
  </si>
  <si>
    <t xml:space="preserve">CP-03</t>
  </si>
  <si>
    <t xml:space="preserve">Login con usuario incorrecto</t>
  </si>
  <si>
    <t xml:space="preserve">1. Ingresar usuario inexistente
2. Ingresar cualquier contraseña
3. Presionar 'Ingresar'</t>
  </si>
  <si>
    <t xml:space="preserve">Usuario: inexistente
Contraseña: cualquiera</t>
  </si>
  <si>
    <t xml:space="preserve">CP-04</t>
  </si>
  <si>
    <t xml:space="preserve">Validación</t>
  </si>
  <si>
    <t xml:space="preserve">Ambos campos vacíos</t>
  </si>
  <si>
    <t xml:space="preserve">1. Dejar usuario y contraseña vacíos
2. Presionar 'Ingresar'</t>
  </si>
  <si>
    <t xml:space="preserve">Usuario: (vacío)
Contraseña: (vacío)</t>
  </si>
  <si>
    <t xml:space="preserve">El sistema no permite el acceso e indica que los campos son obligatorios.</t>
  </si>
  <si>
    <t xml:space="preserve">CP-05</t>
  </si>
  <si>
    <t xml:space="preserve">Media</t>
  </si>
  <si>
    <t xml:space="preserve">Usuario vacío</t>
  </si>
  <si>
    <t xml:space="preserve">1. Dejar usuario vacío
2. Ingresar contraseña
3. Presionar 'Ingresar'</t>
  </si>
  <si>
    <t xml:space="preserve">Usuario: (vacío)
Contraseña: cualquiera</t>
  </si>
  <si>
    <t xml:space="preserve">El sistema no permite el acceso e indica que el usuario es obligatorio.</t>
  </si>
  <si>
    <t xml:space="preserve">CP-06</t>
  </si>
  <si>
    <t xml:space="preserve">Contraseña vacía</t>
  </si>
  <si>
    <t xml:space="preserve">1. Ingresar usuario
2. Dejar contraseña vacía
3. Presionar 'Ingresar'</t>
  </si>
  <si>
    <t xml:space="preserve">Usuario: válido
Contraseña: (vacío)</t>
  </si>
  <si>
    <t xml:space="preserve">El sistema no permite el acceso e indica que la contraseña es obligatoria.</t>
  </si>
  <si>
    <t xml:space="preserve">CP-07</t>
  </si>
  <si>
    <t xml:space="preserve">Mensaje de error no revela qué dato falló</t>
  </si>
  <si>
    <t xml:space="preserve">1. Repetir CP-02 y CP-03
2. Comparar los mensajes de error</t>
  </si>
  <si>
    <t xml:space="preserve">Los de CP-02 y CP-03</t>
  </si>
  <si>
    <t xml:space="preserve">Los mensajes no indican si el usuario o la contraseña es el dato incorrecto (mensaje genérico).</t>
  </si>
  <si>
    <t xml:space="preserve">CP-08</t>
  </si>
  <si>
    <t xml:space="preserve">Contraseña enmascarada</t>
  </si>
  <si>
    <t xml:space="preserve">1. Escribir texto en el campo contraseña</t>
  </si>
  <si>
    <t xml:space="preserve">Contraseña: cualquiera</t>
  </si>
  <si>
    <t xml:space="preserve">Los caracteres se muestran ocultos (puntos o asteriscos).</t>
  </si>
  <si>
    <t xml:space="preserve">CP-09</t>
  </si>
  <si>
    <t xml:space="preserve">Baja</t>
  </si>
  <si>
    <t xml:space="preserve">Usuario con espacios al inicio o al final</t>
  </si>
  <si>
    <t xml:space="preserve">1. Ingresar usuario válido con un espacio al final
2. Ingresar contraseña válida
3. Presionar 'Ingresar'</t>
  </si>
  <si>
    <t xml:space="preserve">Usuario: válido + espacio
Contraseña: válida</t>
  </si>
  <si>
    <t xml:space="preserve">El sistema se comporta de forma consistente: ignora el espacio y accede, o muestra error claro.</t>
  </si>
  <si>
    <t xml:space="preserve">CP-10</t>
  </si>
  <si>
    <t xml:space="preserve">Contraseña con mayúsculas/minúsculas distintas</t>
  </si>
  <si>
    <t xml:space="preserve">1. Ingresar usuario válido
2. Ingresar la contraseña cambiando mayúsculas por minúsculas
3. Presionar 'Ingresar'</t>
  </si>
  <si>
    <t xml:space="preserve">Usuario: válido
Contraseña: válida con distinta capitalización</t>
  </si>
  <si>
    <t xml:space="preserve">El sistema no permite el acceso (la contraseña distingue mayúsculas y minúsculas).</t>
  </si>
  <si>
    <t xml:space="preserve">CP-11</t>
  </si>
  <si>
    <t xml:space="preserve">Enviar el formulario con la tecla Enter</t>
  </si>
  <si>
    <t xml:space="preserve">1. Ingresar usuario y contraseña válidos
2. Presionar Enter en lugar del botón</t>
  </si>
  <si>
    <t xml:space="preserve">Usuario: válido
Contraseña: válida</t>
  </si>
  <si>
    <t xml:space="preserve">El sistema procesa el login igual que con el botón.</t>
  </si>
  <si>
    <t xml:space="preserve">CP-12</t>
  </si>
  <si>
    <t xml:space="preserve">Acceso a página interna sin iniciar sesión</t>
  </si>
  <si>
    <t xml:space="preserve">No tener sesión iniciada</t>
  </si>
  <si>
    <t xml:space="preserve">1. Abrir una URL interna directamente en el navegador</t>
  </si>
  <si>
    <t xml:space="preserve">URL de una página interna</t>
  </si>
  <si>
    <t xml:space="preserve">El sistema redirige a la pantalla de login y no muestra contenido protegido.</t>
  </si>
  <si>
    <t xml:space="preserve">CP-13</t>
  </si>
  <si>
    <t xml:space="preserve">Cierre de sesión y botón Atrás</t>
  </si>
  <si>
    <t xml:space="preserve">Haber iniciado sesión (CP-01)</t>
  </si>
  <si>
    <t xml:space="preserve">1. Cerrar sesión
2. Presionar el botón Atrás del navegador</t>
  </si>
  <si>
    <t xml:space="preserve">-</t>
  </si>
  <si>
    <t xml:space="preserve">El sistema no vuelve a mostrar la sesión ni contenido protegido.</t>
  </si>
  <si>
    <t xml:space="preserve">CP-14</t>
  </si>
  <si>
    <t xml:space="preserve">Regresión</t>
  </si>
  <si>
    <t xml:space="preserve">Regresión de CP-01 a CP-03 tras corregir un bug</t>
  </si>
  <si>
    <t xml:space="preserve">Bug corregido y entregado</t>
  </si>
  <si>
    <t xml:space="preserve">1. Repetir CP-01, CP-02 y CP-03
2. Verificar que el bug corregido no se reproduce</t>
  </si>
  <si>
    <t xml:space="preserve">Los de CP-01 a CP-03</t>
  </si>
  <si>
    <t xml:space="preserve">Los tres casos mantienen el resultado esperado y el bug no reaparece.</t>
  </si>
  <si>
    <t xml:space="preserve">ID Bug</t>
  </si>
  <si>
    <t xml:space="preserve">Caso relacionado</t>
  </si>
  <si>
    <t xml:space="preserve">Pasos para reproducir</t>
  </si>
  <si>
    <t xml:space="preserve">Severidad</t>
  </si>
  <si>
    <t xml:space="preserve">EJEMPLO-BUG-01</t>
  </si>
  <si>
    <t xml:space="preserve">[Ejemplo] Título corto que describe el problema</t>
  </si>
  <si>
    <t xml:space="preserve">1. Ir a login
2. Ingresar ...
3. Presionar ...</t>
  </si>
  <si>
    <t xml:space="preserve">Lo que debería pasar</t>
  </si>
  <si>
    <t xml:space="preserve">Lo que pasó realmente</t>
  </si>
  <si>
    <t xml:space="preserve">Nuevo</t>
  </si>
  <si>
    <t xml:space="preserve">BUG-01.png</t>
  </si>
  <si>
    <t xml:space="preserve">La fila 2 es un ejemplo del formato: reemplazala o borrala al cargar tu primer bug real. Si no hay bugs, borrala y anotá 'Sin bugs detectados'.</t>
  </si>
  <si>
    <t xml:space="preserve">Resumen de ejecución</t>
  </si>
  <si>
    <t xml:space="preserve">Cantidad</t>
  </si>
  <si>
    <t xml:space="preserve">%</t>
  </si>
  <si>
    <t xml:space="preserve">Pasó</t>
  </si>
  <si>
    <t xml:space="preserve">Falló</t>
  </si>
  <si>
    <t xml:space="preserve">Bloqueado</t>
  </si>
  <si>
    <t xml:space="preserve">Total de casos</t>
  </si>
  <si>
    <t xml:space="preserve">Bugs registrados (sin contar el ejemplo)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</si>
</sst>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3" t="s">
        <v>5</v>
      </c>
    </row>
    <row r="4" customFormat="false" ht="15" hidden="false" customHeight="false" outlineLevel="0" collapsed="false">
      <c r="A4" s="1" t="s">
        <v>6</v>
      </c>
      <c r="B4" s="3" t="s">
        <v>7</v>
      </c>
    </row>
    <row r="5" customFormat="false" ht="15" hidden="false" customHeight="false" outlineLevel="0" collapsed="false">
      <c r="A5" s="1" t="s">
        <v>8</v>
      </c>
      <c r="B5" s="3" t="s">
        <v>9</v>
      </c>
    </row>
    <row r="6" customFormat="false" ht="15" hidden="false" customHeight="false" outlineLevel="0" collapsed="false">
      <c r="A6" s="1"/>
      <c r="B6" s="2"/>
    </row>
    <row r="7" customFormat="false" ht="15" hidden="false" customHeight="false" outlineLevel="0" collapsed="false">
      <c r="A7" s="4" t="s">
        <v>10</v>
      </c>
      <c r="B7" s="2"/>
    </row>
    <row r="8" customFormat="false" ht="15" hidden="false" customHeight="false" outlineLevel="0" collapsed="false">
      <c r="A8" s="1" t="s">
        <v>11</v>
      </c>
      <c r="B8" s="2" t="s">
        <v>12</v>
      </c>
    </row>
    <row r="9" customFormat="false" ht="15" hidden="false" customHeight="false" outlineLevel="0" collapsed="false">
      <c r="A9" s="1" t="s">
        <v>13</v>
      </c>
      <c r="B9" s="2" t="s">
        <v>14</v>
      </c>
    </row>
    <row r="10" customFormat="false" ht="15" hidden="false" customHeight="false" outlineLevel="0" collapsed="false">
      <c r="A10" s="1" t="s">
        <v>15</v>
      </c>
      <c r="B10" s="2" t="s">
        <v>16</v>
      </c>
    </row>
    <row r="11" customFormat="false" ht="23.85" hidden="false" customHeight="false" outlineLevel="0" collapsed="false">
      <c r="A11" s="1" t="s">
        <v>17</v>
      </c>
      <c r="B11" s="2" t="s">
        <v>18</v>
      </c>
    </row>
    <row r="12" customFormat="false" ht="15" hidden="false" customHeight="false" outlineLevel="0" collapsed="false">
      <c r="A12" s="1" t="s">
        <v>19</v>
      </c>
      <c r="B12" s="2" t="s">
        <v>20</v>
      </c>
    </row>
    <row r="13" customFormat="false" ht="15" hidden="false" customHeight="false" outlineLevel="0" collapsed="false">
      <c r="A13" s="1"/>
      <c r="B13" s="2"/>
    </row>
    <row r="14" customFormat="false" ht="23.85" hidden="false" customHeight="false" outlineLevel="0" collapsed="false">
      <c r="A14" s="1" t="s">
        <v>21</v>
      </c>
      <c r="B14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44"/>
    <col collapsed="false" customWidth="true" hidden="false" outlineLevel="0" max="7" min="7" style="0" width="30"/>
    <col collapsed="false" customWidth="true" hidden="false" outlineLevel="0" max="8" min="8" style="0" width="46"/>
    <col collapsed="false" customWidth="true" hidden="false" outlineLevel="0" max="9" min="9" style="0" width="34"/>
    <col collapsed="false" customWidth="true" hidden="false" outlineLevel="0" max="11" min="10" style="0" width="12"/>
    <col collapsed="false" customWidth="true" hidden="false" outlineLevel="0" max="12" min="12" style="0" width="18"/>
  </cols>
  <sheetData>
    <row r="1" customFormat="false" ht="30" hidden="false" customHeight="tru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</row>
    <row r="2" customFormat="false" ht="35.05" hidden="false" customHeight="false" outlineLevel="0" collapsed="false">
      <c r="A2" s="6" t="s">
        <v>35</v>
      </c>
      <c r="B2" s="6" t="s">
        <v>36</v>
      </c>
      <c r="C2" s="6" t="s">
        <v>37</v>
      </c>
      <c r="D2" s="6" t="s">
        <v>38</v>
      </c>
      <c r="E2" s="6" t="s">
        <v>39</v>
      </c>
      <c r="F2" s="6" t="s">
        <v>40</v>
      </c>
      <c r="G2" s="6" t="s">
        <v>41</v>
      </c>
      <c r="H2" s="6" t="s">
        <v>42</v>
      </c>
      <c r="I2" s="7"/>
      <c r="J2" s="7" t="s">
        <v>43</v>
      </c>
      <c r="K2" s="7"/>
      <c r="L2" s="7"/>
    </row>
    <row r="3" customFormat="false" ht="35.05" hidden="false" customHeight="false" outlineLevel="0" collapsed="false">
      <c r="A3" s="6" t="s">
        <v>44</v>
      </c>
      <c r="B3" s="6" t="s">
        <v>45</v>
      </c>
      <c r="C3" s="6" t="s">
        <v>37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  <c r="I3" s="7"/>
      <c r="J3" s="7" t="s">
        <v>43</v>
      </c>
      <c r="K3" s="7"/>
      <c r="L3" s="7"/>
    </row>
    <row r="4" customFormat="false" ht="35.05" hidden="false" customHeight="false" outlineLevel="0" collapsed="false">
      <c r="A4" s="6" t="s">
        <v>51</v>
      </c>
      <c r="B4" s="6" t="s">
        <v>45</v>
      </c>
      <c r="C4" s="6" t="s">
        <v>37</v>
      </c>
      <c r="D4" s="6" t="s">
        <v>52</v>
      </c>
      <c r="E4" s="6" t="s">
        <v>47</v>
      </c>
      <c r="F4" s="6" t="s">
        <v>53</v>
      </c>
      <c r="G4" s="6" t="s">
        <v>54</v>
      </c>
      <c r="H4" s="6" t="s">
        <v>50</v>
      </c>
      <c r="I4" s="7"/>
      <c r="J4" s="7" t="s">
        <v>43</v>
      </c>
      <c r="K4" s="7"/>
      <c r="L4" s="7"/>
    </row>
    <row r="5" customFormat="false" ht="23.85" hidden="false" customHeight="false" outlineLevel="0" collapsed="false">
      <c r="A5" s="6" t="s">
        <v>55</v>
      </c>
      <c r="B5" s="6" t="s">
        <v>56</v>
      </c>
      <c r="C5" s="6" t="s">
        <v>37</v>
      </c>
      <c r="D5" s="6" t="s">
        <v>57</v>
      </c>
      <c r="E5" s="6" t="s">
        <v>47</v>
      </c>
      <c r="F5" s="6" t="s">
        <v>58</v>
      </c>
      <c r="G5" s="6" t="s">
        <v>59</v>
      </c>
      <c r="H5" s="6" t="s">
        <v>60</v>
      </c>
      <c r="I5" s="7"/>
      <c r="J5" s="7" t="s">
        <v>43</v>
      </c>
      <c r="K5" s="7"/>
      <c r="L5" s="7"/>
    </row>
    <row r="6" customFormat="false" ht="35.05" hidden="false" customHeight="false" outlineLevel="0" collapsed="false">
      <c r="A6" s="6" t="s">
        <v>61</v>
      </c>
      <c r="B6" s="6" t="s">
        <v>56</v>
      </c>
      <c r="C6" s="6" t="s">
        <v>62</v>
      </c>
      <c r="D6" s="6" t="s">
        <v>63</v>
      </c>
      <c r="E6" s="6" t="s">
        <v>47</v>
      </c>
      <c r="F6" s="6" t="s">
        <v>64</v>
      </c>
      <c r="G6" s="6" t="s">
        <v>65</v>
      </c>
      <c r="H6" s="6" t="s">
        <v>66</v>
      </c>
      <c r="I6" s="7"/>
      <c r="J6" s="7" t="s">
        <v>43</v>
      </c>
      <c r="K6" s="7"/>
      <c r="L6" s="7"/>
    </row>
    <row r="7" customFormat="false" ht="35.05" hidden="false" customHeight="false" outlineLevel="0" collapsed="false">
      <c r="A7" s="6" t="s">
        <v>67</v>
      </c>
      <c r="B7" s="6" t="s">
        <v>56</v>
      </c>
      <c r="C7" s="6" t="s">
        <v>62</v>
      </c>
      <c r="D7" s="6" t="s">
        <v>68</v>
      </c>
      <c r="E7" s="6" t="s">
        <v>47</v>
      </c>
      <c r="F7" s="6" t="s">
        <v>69</v>
      </c>
      <c r="G7" s="6" t="s">
        <v>70</v>
      </c>
      <c r="H7" s="6" t="s">
        <v>71</v>
      </c>
      <c r="I7" s="7"/>
      <c r="J7" s="7" t="s">
        <v>43</v>
      </c>
      <c r="K7" s="7"/>
      <c r="L7" s="7"/>
    </row>
    <row r="8" customFormat="false" ht="23.85" hidden="false" customHeight="false" outlineLevel="0" collapsed="false">
      <c r="A8" s="6" t="s">
        <v>72</v>
      </c>
      <c r="B8" s="6" t="s">
        <v>56</v>
      </c>
      <c r="C8" s="6" t="s">
        <v>62</v>
      </c>
      <c r="D8" s="6" t="s">
        <v>73</v>
      </c>
      <c r="E8" s="6" t="s">
        <v>47</v>
      </c>
      <c r="F8" s="6" t="s">
        <v>74</v>
      </c>
      <c r="G8" s="6" t="s">
        <v>75</v>
      </c>
      <c r="H8" s="6" t="s">
        <v>76</v>
      </c>
      <c r="I8" s="7"/>
      <c r="J8" s="7" t="s">
        <v>43</v>
      </c>
      <c r="K8" s="7"/>
      <c r="L8" s="7"/>
    </row>
    <row r="9" customFormat="false" ht="23.85" hidden="false" customHeight="false" outlineLevel="0" collapsed="false">
      <c r="A9" s="6" t="s">
        <v>77</v>
      </c>
      <c r="B9" s="6" t="s">
        <v>56</v>
      </c>
      <c r="C9" s="6" t="s">
        <v>62</v>
      </c>
      <c r="D9" s="6" t="s">
        <v>78</v>
      </c>
      <c r="E9" s="6" t="s">
        <v>47</v>
      </c>
      <c r="F9" s="6" t="s">
        <v>79</v>
      </c>
      <c r="G9" s="6" t="s">
        <v>80</v>
      </c>
      <c r="H9" s="6" t="s">
        <v>81</v>
      </c>
      <c r="I9" s="7"/>
      <c r="J9" s="7" t="s">
        <v>43</v>
      </c>
      <c r="K9" s="7"/>
      <c r="L9" s="7"/>
    </row>
    <row r="10" customFormat="false" ht="35.05" hidden="false" customHeight="false" outlineLevel="0" collapsed="false">
      <c r="A10" s="6" t="s">
        <v>82</v>
      </c>
      <c r="B10" s="6" t="s">
        <v>56</v>
      </c>
      <c r="C10" s="6" t="s">
        <v>83</v>
      </c>
      <c r="D10" s="6" t="s">
        <v>84</v>
      </c>
      <c r="E10" s="6" t="s">
        <v>39</v>
      </c>
      <c r="F10" s="6" t="s">
        <v>85</v>
      </c>
      <c r="G10" s="6" t="s">
        <v>86</v>
      </c>
      <c r="H10" s="6" t="s">
        <v>87</v>
      </c>
      <c r="I10" s="7"/>
      <c r="J10" s="7" t="s">
        <v>43</v>
      </c>
      <c r="K10" s="7"/>
      <c r="L10" s="7"/>
    </row>
    <row r="11" customFormat="false" ht="46.25" hidden="false" customHeight="false" outlineLevel="0" collapsed="false">
      <c r="A11" s="6" t="s">
        <v>88</v>
      </c>
      <c r="B11" s="6" t="s">
        <v>45</v>
      </c>
      <c r="C11" s="6" t="s">
        <v>62</v>
      </c>
      <c r="D11" s="6" t="s">
        <v>89</v>
      </c>
      <c r="E11" s="6" t="s">
        <v>39</v>
      </c>
      <c r="F11" s="6" t="s">
        <v>90</v>
      </c>
      <c r="G11" s="6" t="s">
        <v>91</v>
      </c>
      <c r="H11" s="6" t="s">
        <v>92</v>
      </c>
      <c r="I11" s="7"/>
      <c r="J11" s="7" t="s">
        <v>43</v>
      </c>
      <c r="K11" s="7"/>
      <c r="L11" s="7"/>
    </row>
    <row r="12" customFormat="false" ht="23.85" hidden="false" customHeight="false" outlineLevel="0" collapsed="false">
      <c r="A12" s="6" t="s">
        <v>93</v>
      </c>
      <c r="B12" s="6" t="s">
        <v>36</v>
      </c>
      <c r="C12" s="6" t="s">
        <v>83</v>
      </c>
      <c r="D12" s="6" t="s">
        <v>94</v>
      </c>
      <c r="E12" s="6" t="s">
        <v>39</v>
      </c>
      <c r="F12" s="6" t="s">
        <v>95</v>
      </c>
      <c r="G12" s="6" t="s">
        <v>96</v>
      </c>
      <c r="H12" s="6" t="s">
        <v>97</v>
      </c>
      <c r="I12" s="7"/>
      <c r="J12" s="7" t="s">
        <v>43</v>
      </c>
      <c r="K12" s="7"/>
      <c r="L12" s="7"/>
    </row>
    <row r="13" customFormat="false" ht="23.85" hidden="false" customHeight="false" outlineLevel="0" collapsed="false">
      <c r="A13" s="6" t="s">
        <v>98</v>
      </c>
      <c r="B13" s="6" t="s">
        <v>36</v>
      </c>
      <c r="C13" s="6" t="s">
        <v>37</v>
      </c>
      <c r="D13" s="6" t="s">
        <v>99</v>
      </c>
      <c r="E13" s="6" t="s">
        <v>100</v>
      </c>
      <c r="F13" s="6" t="s">
        <v>101</v>
      </c>
      <c r="G13" s="6" t="s">
        <v>102</v>
      </c>
      <c r="H13" s="6" t="s">
        <v>103</v>
      </c>
      <c r="I13" s="7"/>
      <c r="J13" s="7" t="s">
        <v>43</v>
      </c>
      <c r="K13" s="7"/>
      <c r="L13" s="7"/>
    </row>
    <row r="14" customFormat="false" ht="23.85" hidden="false" customHeight="false" outlineLevel="0" collapsed="false">
      <c r="A14" s="6" t="s">
        <v>104</v>
      </c>
      <c r="B14" s="6" t="s">
        <v>36</v>
      </c>
      <c r="C14" s="6" t="s">
        <v>62</v>
      </c>
      <c r="D14" s="6" t="s">
        <v>105</v>
      </c>
      <c r="E14" s="6" t="s">
        <v>106</v>
      </c>
      <c r="F14" s="6" t="s">
        <v>107</v>
      </c>
      <c r="G14" s="6" t="s">
        <v>108</v>
      </c>
      <c r="H14" s="6" t="s">
        <v>109</v>
      </c>
      <c r="I14" s="7"/>
      <c r="J14" s="7" t="s">
        <v>43</v>
      </c>
      <c r="K14" s="7"/>
      <c r="L14" s="7"/>
    </row>
    <row r="15" customFormat="false" ht="23.85" hidden="false" customHeight="false" outlineLevel="0" collapsed="false">
      <c r="A15" s="6" t="s">
        <v>110</v>
      </c>
      <c r="B15" s="6" t="s">
        <v>111</v>
      </c>
      <c r="C15" s="6" t="s">
        <v>62</v>
      </c>
      <c r="D15" s="6" t="s">
        <v>112</v>
      </c>
      <c r="E15" s="6" t="s">
        <v>113</v>
      </c>
      <c r="F15" s="6" t="s">
        <v>114</v>
      </c>
      <c r="G15" s="6" t="s">
        <v>115</v>
      </c>
      <c r="H15" s="6" t="s">
        <v>116</v>
      </c>
      <c r="I15" s="7"/>
      <c r="J15" s="7" t="s">
        <v>43</v>
      </c>
      <c r="K15" s="7"/>
      <c r="L15" s="7"/>
    </row>
  </sheetData>
  <autoFilter ref="A1:L15"/>
  <dataValidations count="1">
    <dataValidation allowBlank="false" errorStyle="stop" operator="between" showDropDown="false" showErrorMessage="false" showInputMessage="false" sqref="J2:J15" type="list">
      <formula1>"Pendiente,Pasó,Falló,Bloqueado"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6" min="5" style="0" width="36"/>
    <col collapsed="false" customWidth="true" hidden="false" outlineLevel="0" max="10" min="7" style="0" width="12"/>
    <col collapsed="false" customWidth="true" hidden="false" outlineLevel="0" max="11" min="11" style="0" width="16"/>
  </cols>
  <sheetData>
    <row r="1" customFormat="false" ht="30" hidden="false" customHeight="true" outlineLevel="0" collapsed="false">
      <c r="A1" s="5" t="s">
        <v>117</v>
      </c>
      <c r="B1" s="5" t="s">
        <v>118</v>
      </c>
      <c r="C1" s="5" t="s">
        <v>26</v>
      </c>
      <c r="D1" s="5" t="s">
        <v>119</v>
      </c>
      <c r="E1" s="5" t="s">
        <v>30</v>
      </c>
      <c r="F1" s="5" t="s">
        <v>31</v>
      </c>
      <c r="G1" s="5" t="s">
        <v>120</v>
      </c>
      <c r="H1" s="5" t="s">
        <v>25</v>
      </c>
      <c r="I1" s="5" t="s">
        <v>32</v>
      </c>
      <c r="J1" s="5" t="s">
        <v>33</v>
      </c>
      <c r="K1" s="5" t="s">
        <v>34</v>
      </c>
    </row>
    <row r="2" customFormat="false" ht="35.05" hidden="false" customHeight="false" outlineLevel="0" collapsed="false">
      <c r="A2" s="8" t="s">
        <v>121</v>
      </c>
      <c r="B2" s="8" t="s">
        <v>44</v>
      </c>
      <c r="C2" s="8" t="s">
        <v>122</v>
      </c>
      <c r="D2" s="8" t="s">
        <v>123</v>
      </c>
      <c r="E2" s="8" t="s">
        <v>124</v>
      </c>
      <c r="F2" s="8" t="s">
        <v>125</v>
      </c>
      <c r="G2" s="8" t="s">
        <v>62</v>
      </c>
      <c r="H2" s="8" t="s">
        <v>62</v>
      </c>
      <c r="I2" s="8" t="s">
        <v>126</v>
      </c>
      <c r="J2" s="8"/>
      <c r="K2" s="8" t="s">
        <v>127</v>
      </c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4" customFormat="false" ht="15" hidden="false" customHeight="false" outlineLevel="0" collapsed="false">
      <c r="A14" s="9" t="s">
        <v>128</v>
      </c>
    </row>
  </sheetData>
  <dataValidations count="2">
    <dataValidation allowBlank="true" errorStyle="stop" operator="between" showDropDown="false" showErrorMessage="false" showInputMessage="false" sqref="G2:H12" type="list">
      <formula1>"Baja,Media,Alta,Crítica"</formula1>
      <formula2>0</formula2>
    </dataValidation>
    <dataValidation allowBlank="true" errorStyle="stop" operator="between" showDropDown="false" showErrorMessage="false" showInputMessage="false" sqref="I2:I12" type="list">
      <formula1>"Nuevo,En revisión,Corregido,Cerrado"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16.15" hidden="false" customHeight="false" outlineLevel="0" collapsed="false">
      <c r="A1" s="10" t="s">
        <v>129</v>
      </c>
    </row>
    <row r="3" customFormat="false" ht="15" hidden="false" customHeight="false" outlineLevel="0" collapsed="false">
      <c r="A3" s="5" t="s">
        <v>32</v>
      </c>
      <c r="B3" s="5" t="s">
        <v>130</v>
      </c>
      <c r="C3" s="5" t="s">
        <v>131</v>
      </c>
    </row>
    <row r="4" customFormat="false" ht="15" hidden="false" customHeight="false" outlineLevel="0" collapsed="false">
      <c r="A4" s="11" t="s">
        <v>132</v>
      </c>
      <c r="B4" s="11" t="n">
        <f aca="false">COUNTIF('Casos de prueba'!$J$2:$J$15,A4)</f>
        <v>0</v>
      </c>
      <c r="C4" s="12" t="n">
        <f aca="false">IF($B$8=0,0,B4/$B$8)</f>
        <v>0</v>
      </c>
    </row>
    <row r="5" customFormat="false" ht="15" hidden="false" customHeight="false" outlineLevel="0" collapsed="false">
      <c r="A5" s="11" t="s">
        <v>133</v>
      </c>
      <c r="B5" s="11" t="n">
        <f aca="false">COUNTIF('Casos de prueba'!$J$2:$J$15,A5)</f>
        <v>0</v>
      </c>
      <c r="C5" s="12" t="n">
        <f aca="false">IF($B$8=0,0,B5/$B$8)</f>
        <v>0</v>
      </c>
    </row>
    <row r="6" customFormat="false" ht="15" hidden="false" customHeight="false" outlineLevel="0" collapsed="false">
      <c r="A6" s="11" t="s">
        <v>134</v>
      </c>
      <c r="B6" s="11" t="n">
        <f aca="false">COUNTIF('Casos de prueba'!$J$2:$J$15,A6)</f>
        <v>0</v>
      </c>
      <c r="C6" s="12" t="n">
        <f aca="false">IF($B$8=0,0,B6/$B$8)</f>
        <v>0</v>
      </c>
    </row>
    <row r="7" customFormat="false" ht="15" hidden="false" customHeight="false" outlineLevel="0" collapsed="false">
      <c r="A7" s="11" t="s">
        <v>43</v>
      </c>
      <c r="B7" s="11" t="n">
        <f aca="false">COUNTIF('Casos de prueba'!$J$2:$J$15,A7)</f>
        <v>14</v>
      </c>
      <c r="C7" s="12" t="n">
        <f aca="false">IF($B$8=0,0,B7/$B$8)</f>
        <v>1</v>
      </c>
    </row>
    <row r="8" customFormat="false" ht="15" hidden="false" customHeight="false" outlineLevel="0" collapsed="false">
      <c r="A8" s="13" t="s">
        <v>135</v>
      </c>
      <c r="B8" s="13" t="n">
        <f aca="false">SUM(B4:B7)</f>
        <v>14</v>
      </c>
      <c r="C8" s="14" t="n">
        <f aca="false">SUM(C4:C7)</f>
        <v>1</v>
      </c>
    </row>
    <row r="10" customFormat="false" ht="15" hidden="false" customHeight="false" outlineLevel="0" collapsed="false">
      <c r="A10" s="1" t="s">
        <v>136</v>
      </c>
      <c r="B10" s="15" t="n">
        <f aca="false">COUNTA('Reporte de bugs'!A3:A12)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2026-10-16T17:04:38Z</dcterms:created>
  <dc:creator>openpyxl</dc:creator>
  <dc:description/>
  <dc:language>en-US</dc:language>
  <cp:lastModifiedBy/>
  <dcterms:modified xsi:type="dcterms:W3CDTF">2026-10-16T17:04:38Z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